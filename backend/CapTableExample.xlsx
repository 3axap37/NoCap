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\Coding\PjtKai\"/>
    </mc:Choice>
  </mc:AlternateContent>
  <xr:revisionPtr revIDLastSave="0" documentId="13_ncr:1_{32C3E671-BE1D-46D0-BFA6-F3BE54313346}" xr6:coauthVersionLast="47" xr6:coauthVersionMax="47" xr10:uidLastSave="{00000000-0000-0000-0000-000000000000}"/>
  <bookViews>
    <workbookView xWindow="-120" yWindow="-120" windowWidth="38640" windowHeight="15720" xr2:uid="{7A04A634-26EC-4709-8C24-0CBC0EB7571A}"/>
  </bookViews>
  <sheets>
    <sheet name="Cap Table 조정안" sheetId="2" r:id="rId1"/>
  </sheets>
  <definedNames>
    <definedName name="_xlnm.Print_Area" localSheetId="0">'Cap Table 조정안'!$A$1:$H$36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0" i="2" l="1"/>
  <c r="D6" i="2" s="1"/>
  <c r="F25" i="2" l="1"/>
  <c r="E34" i="2" s="1"/>
  <c r="G34" i="2" s="1"/>
  <c r="F15" i="2"/>
  <c r="F16" i="2"/>
  <c r="F17" i="2"/>
  <c r="F18" i="2"/>
  <c r="F19" i="2"/>
  <c r="D7" i="2"/>
  <c r="F14" i="2"/>
  <c r="F20" i="2" l="1"/>
  <c r="E35" i="2"/>
  <c r="F33" i="2" l="1"/>
  <c r="F32" i="2"/>
  <c r="F31" i="2"/>
  <c r="F30" i="2"/>
  <c r="F29" i="2"/>
  <c r="D8" i="2"/>
  <c r="F34" i="2"/>
  <c r="F28" i="2"/>
  <c r="F35" i="2" l="1"/>
</calcChain>
</file>

<file path=xl/sharedStrings.xml><?xml version="1.0" encoding="utf-8"?>
<sst xmlns="http://schemas.openxmlformats.org/spreadsheetml/2006/main" count="48" uniqueCount="26">
  <si>
    <t>Pre Value</t>
    <phoneticPr fontId="2" type="noConversion"/>
  </si>
  <si>
    <t>Post Value</t>
    <phoneticPr fontId="2" type="noConversion"/>
  </si>
  <si>
    <t>Purchasing Value</t>
    <phoneticPr fontId="2" type="noConversion"/>
  </si>
  <si>
    <t>Cap Table</t>
    <phoneticPr fontId="2" type="noConversion"/>
  </si>
  <si>
    <t>주주명</t>
    <phoneticPr fontId="2" type="noConversion"/>
  </si>
  <si>
    <t>주식 수</t>
    <phoneticPr fontId="2" type="noConversion"/>
  </si>
  <si>
    <t>지분율</t>
    <phoneticPr fontId="2" type="noConversion"/>
  </si>
  <si>
    <t>주식종류</t>
    <phoneticPr fontId="2" type="noConversion"/>
  </si>
  <si>
    <t>보통주</t>
    <phoneticPr fontId="2" type="noConversion"/>
  </si>
  <si>
    <t>합계</t>
    <phoneticPr fontId="2" type="noConversion"/>
  </si>
  <si>
    <t>매입자금</t>
    <phoneticPr fontId="2" type="noConversion"/>
  </si>
  <si>
    <t>1)</t>
    <phoneticPr fontId="2" type="noConversion"/>
  </si>
  <si>
    <t>2)</t>
    <phoneticPr fontId="2" type="noConversion"/>
  </si>
  <si>
    <t>거래주식수</t>
    <phoneticPr fontId="2" type="noConversion"/>
  </si>
  <si>
    <t>투자 전</t>
    <phoneticPr fontId="2" type="noConversion"/>
  </si>
  <si>
    <t>투자 후</t>
    <phoneticPr fontId="2" type="noConversion"/>
  </si>
  <si>
    <t>RCPS</t>
    <phoneticPr fontId="2" type="noConversion"/>
  </si>
  <si>
    <t>Series A Round</t>
    <phoneticPr fontId="2" type="noConversion"/>
  </si>
  <si>
    <t>한투 바른동행 셰르파 제4호 펀드</t>
    <phoneticPr fontId="2" type="noConversion"/>
  </si>
  <si>
    <t>[기업명]</t>
    <phoneticPr fontId="2" type="noConversion"/>
  </si>
  <si>
    <t>A</t>
    <phoneticPr fontId="2" type="noConversion"/>
  </si>
  <si>
    <t>B</t>
    <phoneticPr fontId="2" type="noConversion"/>
  </si>
  <si>
    <t>C</t>
    <phoneticPr fontId="2" type="noConversion"/>
  </si>
  <si>
    <t>D</t>
    <phoneticPr fontId="2" type="noConversion"/>
  </si>
  <si>
    <t>E</t>
    <phoneticPr fontId="2" type="noConversion"/>
  </si>
  <si>
    <t>F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</si>
</sst>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76" formatCode="_-* #,##0.0_-;\-* #,##0.0_-;_-* &quot;-&quot;?_-;_-@_-"/>
  </numFmts>
  <fonts count="1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b/>
      <i/>
      <sz val="11"/>
      <color theme="1"/>
      <name val="맑은 고딕"/>
      <family val="3"/>
      <charset val="129"/>
      <scheme val="minor"/>
    </font>
    <font>
      <b/>
      <i/>
      <sz val="11"/>
      <color rgb="FFC0000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0070C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0" tint="-0.14999847407452621"/>
      <name val="맑은 고딕"/>
      <family val="3"/>
      <charset val="129"/>
      <scheme val="minor"/>
    </font>
    <font>
      <i/>
      <sz val="9"/>
      <color theme="0" tint="-0.1499984740745262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3" fillId="3" borderId="0" xfId="0" applyFont="1" applyFill="1">
      <alignment vertical="center"/>
    </xf>
    <xf numFmtId="0" fontId="4" fillId="3" borderId="0" xfId="0" applyFont="1" applyFill="1">
      <alignment vertical="center"/>
    </xf>
    <xf numFmtId="41" fontId="0" fillId="0" borderId="0" xfId="1" applyFo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1" fontId="6" fillId="0" borderId="1" xfId="1" applyFont="1" applyBorder="1" applyAlignment="1">
      <alignment horizontal="center" vertical="center"/>
    </xf>
    <xf numFmtId="0" fontId="6" fillId="0" borderId="0" xfId="0" applyFont="1">
      <alignment vertical="center"/>
    </xf>
    <xf numFmtId="10" fontId="6" fillId="0" borderId="1" xfId="2" applyNumberFormat="1" applyFont="1" applyBorder="1" applyAlignment="1">
      <alignment horizontal="right" vertical="center"/>
    </xf>
    <xf numFmtId="41" fontId="7" fillId="2" borderId="1" xfId="1" applyFont="1" applyFill="1" applyBorder="1">
      <alignment vertical="center"/>
    </xf>
    <xf numFmtId="10" fontId="7" fillId="2" borderId="1" xfId="2" applyNumberFormat="1" applyFont="1" applyFill="1" applyBorder="1" applyAlignment="1">
      <alignment horizontal="right" vertical="center"/>
    </xf>
    <xf numFmtId="0" fontId="8" fillId="0" borderId="2" xfId="0" applyFont="1" applyBorder="1">
      <alignment vertical="center"/>
    </xf>
    <xf numFmtId="0" fontId="0" fillId="0" borderId="2" xfId="0" applyBorder="1">
      <alignment vertical="center"/>
    </xf>
    <xf numFmtId="43" fontId="0" fillId="0" borderId="0" xfId="0" applyNumberFormat="1">
      <alignment vertical="center"/>
    </xf>
    <xf numFmtId="0" fontId="7" fillId="0" borderId="0" xfId="0" applyFont="1">
      <alignment vertical="center"/>
    </xf>
    <xf numFmtId="41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9" fillId="0" borderId="0" xfId="0" applyFont="1">
      <alignment vertical="center"/>
    </xf>
    <xf numFmtId="0" fontId="12" fillId="0" borderId="0" xfId="0" applyFont="1" applyAlignment="1">
      <alignment horizontal="right" vertical="center"/>
    </xf>
    <xf numFmtId="0" fontId="13" fillId="0" borderId="0" xfId="0" applyFont="1">
      <alignment vertical="center"/>
    </xf>
    <xf numFmtId="41" fontId="13" fillId="0" borderId="0" xfId="1" applyFont="1">
      <alignment vertical="center"/>
    </xf>
    <xf numFmtId="0" fontId="0" fillId="0" borderId="8" xfId="0" applyBorder="1">
      <alignment vertical="center"/>
    </xf>
    <xf numFmtId="0" fontId="6" fillId="0" borderId="0" xfId="0" applyFont="1" applyBorder="1">
      <alignment vertical="center"/>
    </xf>
    <xf numFmtId="0" fontId="0" fillId="0" borderId="0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6" fillId="0" borderId="2" xfId="0" applyFont="1" applyBorder="1">
      <alignment vertical="center"/>
    </xf>
    <xf numFmtId="0" fontId="0" fillId="0" borderId="11" xfId="0" applyBorder="1">
      <alignment vertical="center"/>
    </xf>
    <xf numFmtId="41" fontId="8" fillId="0" borderId="0" xfId="1" applyFont="1" applyBorder="1">
      <alignment vertical="center"/>
    </xf>
    <xf numFmtId="41" fontId="0" fillId="0" borderId="9" xfId="1" applyFont="1" applyBorder="1">
      <alignment vertical="center"/>
    </xf>
    <xf numFmtId="0" fontId="7" fillId="5" borderId="5" xfId="0" applyFont="1" applyFill="1" applyBorder="1">
      <alignment vertical="center"/>
    </xf>
    <xf numFmtId="0" fontId="0" fillId="5" borderId="6" xfId="0" applyFill="1" applyBorder="1">
      <alignment vertical="center"/>
    </xf>
    <xf numFmtId="43" fontId="0" fillId="5" borderId="7" xfId="0" applyNumberFormat="1" applyFill="1" applyBorder="1">
      <alignment vertical="center"/>
    </xf>
    <xf numFmtId="41" fontId="14" fillId="0" borderId="0" xfId="1" applyFont="1">
      <alignment vertical="center"/>
    </xf>
    <xf numFmtId="41" fontId="15" fillId="0" borderId="0" xfId="0" applyNumberFormat="1" applyFont="1">
      <alignment vertical="center"/>
    </xf>
    <xf numFmtId="0" fontId="7" fillId="6" borderId="1" xfId="0" applyFont="1" applyFill="1" applyBorder="1" applyAlignment="1">
      <alignment horizontal="center" vertical="center"/>
    </xf>
    <xf numFmtId="41" fontId="7" fillId="6" borderId="1" xfId="1" applyFont="1" applyFill="1" applyBorder="1" applyAlignment="1">
      <alignment horizontal="center" vertical="center"/>
    </xf>
    <xf numFmtId="10" fontId="7" fillId="6" borderId="1" xfId="2" applyNumberFormat="1" applyFont="1" applyFill="1" applyBorder="1" applyAlignment="1">
      <alignment horizontal="right" vertical="center"/>
    </xf>
    <xf numFmtId="0" fontId="7" fillId="6" borderId="12" xfId="0" applyFont="1" applyFill="1" applyBorder="1" applyAlignment="1">
      <alignment horizontal="center" vertical="center"/>
    </xf>
    <xf numFmtId="41" fontId="16" fillId="0" borderId="0" xfId="1" applyFo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41" fontId="17" fillId="0" borderId="0" xfId="1" applyFont="1" applyAlignment="1">
      <alignment horizontal="center" vertical="center"/>
    </xf>
    <xf numFmtId="41" fontId="9" fillId="0" borderId="8" xfId="1" applyFont="1" applyBorder="1" applyAlignment="1">
      <alignment horizontal="center" vertical="center"/>
    </xf>
    <xf numFmtId="41" fontId="9" fillId="0" borderId="0" xfId="1" applyFont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50B2C-C546-45C6-8576-1C97F834BC1C}">
  <sheetPr>
    <tabColor rgb="FF002060"/>
  </sheetPr>
  <dimension ref="B2:L40"/>
  <sheetViews>
    <sheetView showGridLines="0" tabSelected="1" view="pageBreakPreview" topLeftCell="A5" zoomScaleNormal="100" zoomScaleSheetLayoutView="100" workbookViewId="0">
      <selection activeCell="H20" sqref="H20"/>
    </sheetView>
  </sheetViews>
  <sheetFormatPr defaultRowHeight="16.5" x14ac:dyDescent="0.3"/>
  <cols>
    <col min="1" max="1" width="5.125" customWidth="1"/>
    <col min="2" max="2" width="3.5" customWidth="1"/>
    <col min="3" max="3" width="38.25" customWidth="1"/>
    <col min="4" max="4" width="15.75" customWidth="1"/>
    <col min="5" max="5" width="14.625" bestFit="1" customWidth="1"/>
    <col min="6" max="6" width="17.125" bestFit="1" customWidth="1"/>
    <col min="7" max="7" width="4.875" customWidth="1"/>
    <col min="8" max="8" width="15.625" customWidth="1"/>
    <col min="9" max="9" width="4.25" customWidth="1"/>
  </cols>
  <sheetData>
    <row r="2" spans="2:12" s="2" customFormat="1" x14ac:dyDescent="0.3">
      <c r="B2" s="1" t="s">
        <v>3</v>
      </c>
    </row>
    <row r="4" spans="2:12" x14ac:dyDescent="0.3">
      <c r="B4" s="32" t="s">
        <v>19</v>
      </c>
      <c r="C4" s="33"/>
      <c r="D4" s="33"/>
      <c r="E4" s="33"/>
      <c r="F4" s="34"/>
    </row>
    <row r="5" spans="2:12" x14ac:dyDescent="0.3">
      <c r="B5" s="23"/>
      <c r="C5" s="11" t="s">
        <v>17</v>
      </c>
      <c r="D5" s="12"/>
      <c r="E5" s="25"/>
      <c r="F5" s="26"/>
      <c r="I5" s="18"/>
    </row>
    <row r="6" spans="2:12" x14ac:dyDescent="0.3">
      <c r="B6" s="23"/>
      <c r="C6" s="24" t="s">
        <v>2</v>
      </c>
      <c r="D6" s="30">
        <f>ROUND(E7/E20,0)</f>
        <v>285714</v>
      </c>
      <c r="E6" s="25"/>
      <c r="F6" s="31"/>
    </row>
    <row r="7" spans="2:12" x14ac:dyDescent="0.3">
      <c r="B7" s="23"/>
      <c r="C7" s="24" t="s">
        <v>0</v>
      </c>
      <c r="D7" s="30">
        <f>D6*E20</f>
        <v>9499990500</v>
      </c>
      <c r="E7" s="41">
        <v>9500000000</v>
      </c>
      <c r="F7" s="31"/>
    </row>
    <row r="8" spans="2:12" x14ac:dyDescent="0.3">
      <c r="B8" s="23"/>
      <c r="C8" s="24" t="s">
        <v>1</v>
      </c>
      <c r="D8" s="30">
        <f>D6*E35</f>
        <v>10000275714</v>
      </c>
      <c r="E8" s="25"/>
      <c r="F8" s="26"/>
    </row>
    <row r="9" spans="2:12" x14ac:dyDescent="0.3">
      <c r="B9" s="27"/>
      <c r="C9" s="28"/>
      <c r="D9" s="12"/>
      <c r="E9" s="12"/>
      <c r="F9" s="29"/>
      <c r="G9" s="3"/>
    </row>
    <row r="10" spans="2:12" x14ac:dyDescent="0.3">
      <c r="C10" s="7"/>
      <c r="G10" s="3"/>
    </row>
    <row r="11" spans="2:12" x14ac:dyDescent="0.3">
      <c r="B11" s="20" t="s">
        <v>11</v>
      </c>
      <c r="C11" s="14" t="s">
        <v>14</v>
      </c>
      <c r="G11" s="3"/>
    </row>
    <row r="12" spans="2:12" x14ac:dyDescent="0.3">
      <c r="G12" s="3"/>
    </row>
    <row r="13" spans="2:12" x14ac:dyDescent="0.3">
      <c r="C13" s="4" t="s">
        <v>4</v>
      </c>
      <c r="D13" s="4" t="s">
        <v>7</v>
      </c>
      <c r="E13" s="4" t="s">
        <v>5</v>
      </c>
      <c r="F13" s="4" t="s">
        <v>6</v>
      </c>
      <c r="I13" s="17"/>
      <c r="L13" s="19"/>
    </row>
    <row r="14" spans="2:12" x14ac:dyDescent="0.3">
      <c r="C14" s="5" t="s">
        <v>20</v>
      </c>
      <c r="D14" s="5" t="s">
        <v>8</v>
      </c>
      <c r="E14" s="6">
        <v>19600</v>
      </c>
      <c r="F14" s="8">
        <f t="shared" ref="F14:F19" si="0">E14/$E$20</f>
        <v>0.58947368421052626</v>
      </c>
    </row>
    <row r="15" spans="2:12" x14ac:dyDescent="0.3">
      <c r="C15" s="5" t="s">
        <v>21</v>
      </c>
      <c r="D15" s="5" t="s">
        <v>8</v>
      </c>
      <c r="E15" s="6">
        <v>3500</v>
      </c>
      <c r="F15" s="8">
        <f t="shared" si="0"/>
        <v>0.10526315789473684</v>
      </c>
    </row>
    <row r="16" spans="2:12" x14ac:dyDescent="0.3">
      <c r="C16" s="5" t="s">
        <v>22</v>
      </c>
      <c r="D16" s="5" t="s">
        <v>8</v>
      </c>
      <c r="E16" s="6">
        <v>3500</v>
      </c>
      <c r="F16" s="8">
        <f t="shared" si="0"/>
        <v>0.10526315789473684</v>
      </c>
    </row>
    <row r="17" spans="2:8" x14ac:dyDescent="0.3">
      <c r="C17" s="5" t="s">
        <v>23</v>
      </c>
      <c r="D17" s="5" t="s">
        <v>8</v>
      </c>
      <c r="E17" s="6">
        <v>1400</v>
      </c>
      <c r="F17" s="8">
        <f t="shared" si="0"/>
        <v>4.2105263157894736E-2</v>
      </c>
    </row>
    <row r="18" spans="2:8" x14ac:dyDescent="0.3">
      <c r="C18" s="5" t="s">
        <v>24</v>
      </c>
      <c r="D18" s="5" t="s">
        <v>8</v>
      </c>
      <c r="E18" s="6">
        <v>3500</v>
      </c>
      <c r="F18" s="8">
        <f t="shared" si="0"/>
        <v>0.10526315789473684</v>
      </c>
    </row>
    <row r="19" spans="2:8" x14ac:dyDescent="0.3">
      <c r="C19" s="5" t="s">
        <v>25</v>
      </c>
      <c r="D19" s="5" t="s">
        <v>8</v>
      </c>
      <c r="E19" s="6">
        <v>1750</v>
      </c>
      <c r="F19" s="8">
        <f t="shared" si="0"/>
        <v>5.2631578947368418E-2</v>
      </c>
    </row>
    <row r="20" spans="2:8" x14ac:dyDescent="0.3">
      <c r="C20" s="42" t="s">
        <v>9</v>
      </c>
      <c r="D20" s="43"/>
      <c r="E20" s="9">
        <f>SUM(E14:E19)</f>
        <v>33250</v>
      </c>
      <c r="F20" s="10">
        <f>SUM(F14:F19)</f>
        <v>1</v>
      </c>
    </row>
    <row r="24" spans="2:8" x14ac:dyDescent="0.3">
      <c r="B24" s="20" t="s">
        <v>12</v>
      </c>
      <c r="C24" s="14" t="s">
        <v>15</v>
      </c>
      <c r="E24" s="21" t="s">
        <v>10</v>
      </c>
      <c r="F24" s="35">
        <v>500000000</v>
      </c>
      <c r="G24" s="44"/>
      <c r="H24" s="44"/>
    </row>
    <row r="25" spans="2:8" x14ac:dyDescent="0.3">
      <c r="B25" s="20"/>
      <c r="C25" s="14"/>
      <c r="E25" s="21" t="s">
        <v>13</v>
      </c>
      <c r="F25" s="22">
        <f>ROUNDUP(F24/D6,0)</f>
        <v>1751</v>
      </c>
      <c r="G25" s="44"/>
      <c r="H25" s="44"/>
    </row>
    <row r="26" spans="2:8" x14ac:dyDescent="0.3">
      <c r="B26" s="20"/>
      <c r="C26" s="14"/>
      <c r="F26" s="16"/>
      <c r="G26" s="13"/>
    </row>
    <row r="27" spans="2:8" x14ac:dyDescent="0.3">
      <c r="C27" s="4" t="s">
        <v>4</v>
      </c>
      <c r="D27" s="4" t="s">
        <v>7</v>
      </c>
      <c r="E27" s="4" t="s">
        <v>5</v>
      </c>
      <c r="F27" s="4" t="s">
        <v>6</v>
      </c>
    </row>
    <row r="28" spans="2:8" x14ac:dyDescent="0.3">
      <c r="C28" s="5" t="s">
        <v>20</v>
      </c>
      <c r="D28" s="5" t="s">
        <v>8</v>
      </c>
      <c r="E28" s="6">
        <v>19600</v>
      </c>
      <c r="F28" s="8">
        <f t="shared" ref="F28:F34" si="1">E28/$E$35</f>
        <v>0.55998400045712982</v>
      </c>
    </row>
    <row r="29" spans="2:8" x14ac:dyDescent="0.3">
      <c r="C29" s="5" t="s">
        <v>21</v>
      </c>
      <c r="D29" s="5" t="s">
        <v>8</v>
      </c>
      <c r="E29" s="6">
        <v>3500</v>
      </c>
      <c r="F29" s="8">
        <f t="shared" si="1"/>
        <v>9.9997142938773181E-2</v>
      </c>
    </row>
    <row r="30" spans="2:8" x14ac:dyDescent="0.3">
      <c r="C30" s="5" t="s">
        <v>22</v>
      </c>
      <c r="D30" s="5" t="s">
        <v>8</v>
      </c>
      <c r="E30" s="6">
        <v>3500</v>
      </c>
      <c r="F30" s="8">
        <f t="shared" si="1"/>
        <v>9.9997142938773181E-2</v>
      </c>
    </row>
    <row r="31" spans="2:8" x14ac:dyDescent="0.3">
      <c r="C31" s="5" t="s">
        <v>23</v>
      </c>
      <c r="D31" s="5" t="s">
        <v>8</v>
      </c>
      <c r="E31" s="6">
        <v>1400</v>
      </c>
      <c r="F31" s="8">
        <f t="shared" si="1"/>
        <v>3.9998857175509273E-2</v>
      </c>
    </row>
    <row r="32" spans="2:8" x14ac:dyDescent="0.3">
      <c r="C32" s="5" t="s">
        <v>24</v>
      </c>
      <c r="D32" s="5" t="s">
        <v>8</v>
      </c>
      <c r="E32" s="6">
        <v>3500</v>
      </c>
      <c r="F32" s="8">
        <f t="shared" si="1"/>
        <v>9.9997142938773181E-2</v>
      </c>
    </row>
    <row r="33" spans="3:8" x14ac:dyDescent="0.3">
      <c r="C33" s="5" t="s">
        <v>25</v>
      </c>
      <c r="D33" s="5" t="s">
        <v>8</v>
      </c>
      <c r="E33" s="6">
        <v>1750</v>
      </c>
      <c r="F33" s="8">
        <f t="shared" si="1"/>
        <v>4.9998571469386591E-2</v>
      </c>
    </row>
    <row r="34" spans="3:8" x14ac:dyDescent="0.3">
      <c r="C34" s="40" t="s">
        <v>18</v>
      </c>
      <c r="D34" s="37" t="s">
        <v>16</v>
      </c>
      <c r="E34" s="38">
        <f>F25</f>
        <v>1751</v>
      </c>
      <c r="F34" s="39">
        <f t="shared" si="1"/>
        <v>5.0027142081654812E-2</v>
      </c>
      <c r="G34" s="45">
        <f>E34*D6</f>
        <v>500285214</v>
      </c>
      <c r="H34" s="46"/>
    </row>
    <row r="35" spans="3:8" x14ac:dyDescent="0.3">
      <c r="C35" s="42" t="s">
        <v>9</v>
      </c>
      <c r="D35" s="43"/>
      <c r="E35" s="9">
        <f>SUM(E28:E34)</f>
        <v>35001</v>
      </c>
      <c r="F35" s="10">
        <f>SUM(F28:F34)</f>
        <v>1</v>
      </c>
    </row>
    <row r="36" spans="3:8" x14ac:dyDescent="0.3">
      <c r="E36" s="36"/>
      <c r="H36" s="15"/>
    </row>
    <row r="37" spans="3:8" x14ac:dyDescent="0.3">
      <c r="D37" s="3"/>
    </row>
    <row r="38" spans="3:8" x14ac:dyDescent="0.3">
      <c r="D38" s="3"/>
    </row>
    <row r="40" spans="3:8" x14ac:dyDescent="0.3">
      <c r="C40" s="3"/>
      <c r="D40" s="3"/>
      <c r="E40" s="3"/>
    </row>
  </sheetData>
  <mergeCells count="5">
    <mergeCell ref="C20:D20"/>
    <mergeCell ref="C35:D35"/>
    <mergeCell ref="G24:H24"/>
    <mergeCell ref="G25:H25"/>
    <mergeCell ref="G34:H34"/>
  </mergeCells>
  <phoneticPr fontId="2" type="noConversion"/>
  <pageMargins left="0.7" right="0.7" top="0.75" bottom="0.75" header="0.3" footer="0.3"/>
  <pageSetup paperSize="9" scale="44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Cap Table 조정안</vt:lpstr>
      <vt:lpstr>'Cap Table 조정안'!Print_Area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남우현</cp:lastModifiedBy>
  <dcterms:created xsi:type="dcterms:W3CDTF">2023-09-05T23:57:55Z</dcterms:created>
  <dcterms:modified xsi:type="dcterms:W3CDTF">2026-02-27T00:05:37Z</dcterms:modified>
</cp:coreProperties>
</file>