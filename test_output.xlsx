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 Table 조정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_-;_-@_-"/>
  </numFmts>
  <fonts count="13">
    <font>
      <name val="Calibri"/>
      <family val="2"/>
      <color theme="1"/>
      <sz val="11"/>
      <scheme val="minor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0" tint="-0.1499984740745262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rgb="FF0070C0"/>
      <sz val="9"/>
      <scheme val="minor"/>
    </font>
    <font>
      <name val="맑은 고딕"/>
      <charset val="129"/>
      <family val="3"/>
      <i val="1"/>
      <color theme="0" tint="-0.1499984740745262"/>
      <sz val="9"/>
      <scheme val="minor"/>
    </font>
    <font>
      <name val="맑은 고딕"/>
      <charset val="129"/>
      <family val="3"/>
      <i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164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8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165" fontId="2" fillId="5" borderId="0" applyAlignment="1" pivotButton="0" quotePrefix="0" xfId="0">
      <alignment vertical="center"/>
    </xf>
    <xf numFmtId="10" fontId="2" fillId="5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165" fontId="11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vertical="center"/>
    </xf>
    <xf numFmtId="0" fontId="2" fillId="6" borderId="0" applyAlignment="1" pivotButton="0" quotePrefix="0" xfId="0">
      <alignment horizontal="center" vertical="center"/>
    </xf>
    <xf numFmtId="165" fontId="2" fillId="6" borderId="0" applyAlignment="1" pivotButton="0" quotePrefix="0" xfId="0">
      <alignment horizontal="center" vertical="center"/>
    </xf>
    <xf numFmtId="10" fontId="2" fillId="6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5"/>
  <sheetViews>
    <sheetView workbookViewId="0">
      <selection activeCell="A1" sqref="A1"/>
    </sheetView>
  </sheetViews>
  <sheetFormatPr baseColWidth="8" defaultRowHeight="15"/>
  <cols>
    <col width="5.125" customWidth="1" min="1" max="1"/>
    <col width="3.5" customWidth="1" min="2" max="2"/>
    <col width="38.25" customWidth="1" min="3" max="3"/>
    <col width="15.75" customWidth="1" min="4" max="4"/>
    <col width="14.625" customWidth="1" min="5" max="5"/>
    <col width="17.125" customWidth="1" min="6" max="6"/>
    <col width="4.875" customWidth="1" min="7" max="7"/>
    <col width="15.625" customWidth="1" min="8" max="8"/>
    <col width="4.25" customWidth="1" min="9" max="9"/>
  </cols>
  <sheetData>
    <row r="2">
      <c r="B2" s="1" t="inlineStr">
        <is>
          <t>Cap Table</t>
        </is>
      </c>
    </row>
    <row r="4">
      <c r="B4" s="2" t="inlineStr">
        <is>
          <t>테스트 주식회사</t>
        </is>
      </c>
      <c r="C4" s="3" t="n"/>
      <c r="D4" s="3" t="n"/>
      <c r="E4" s="3" t="n"/>
      <c r="F4" s="4" t="n"/>
    </row>
    <row r="5">
      <c r="C5" s="5" t="inlineStr">
        <is>
          <t>Series A</t>
        </is>
      </c>
    </row>
    <row r="6">
      <c r="C6" s="6" t="inlineStr">
        <is>
          <t>Purchasing Value</t>
        </is>
      </c>
      <c r="D6" s="7">
        <f>ROUND(E7/E20,0)</f>
        <v/>
      </c>
    </row>
    <row r="7">
      <c r="C7" s="6" t="inlineStr">
        <is>
          <t>Pre Value</t>
        </is>
      </c>
      <c r="D7" s="7">
        <f>D6*E20</f>
        <v/>
      </c>
      <c r="E7" s="8" t="n">
        <v>9500000000</v>
      </c>
    </row>
    <row r="8">
      <c r="C8" s="6" t="inlineStr">
        <is>
          <t>Post Value</t>
        </is>
      </c>
      <c r="D8" s="7">
        <f>D6*E35</f>
        <v/>
      </c>
    </row>
    <row r="11">
      <c r="B11" s="9" t="inlineStr">
        <is>
          <t>1)</t>
        </is>
      </c>
      <c r="C11" s="10" t="inlineStr">
        <is>
          <t>투자 전</t>
        </is>
      </c>
    </row>
    <row r="13">
      <c r="C13" s="11" t="inlineStr">
        <is>
          <t>주주명</t>
        </is>
      </c>
      <c r="D13" s="11" t="inlineStr">
        <is>
          <t>주식종류</t>
        </is>
      </c>
      <c r="E13" s="11" t="inlineStr">
        <is>
          <t>주식 수</t>
        </is>
      </c>
      <c r="F13" s="11" t="inlineStr">
        <is>
          <t>지분율</t>
        </is>
      </c>
    </row>
    <row r="14">
      <c r="C14" s="12" t="inlineStr">
        <is>
          <t>A</t>
        </is>
      </c>
      <c r="D14" s="12" t="inlineStr">
        <is>
          <t>보통주</t>
        </is>
      </c>
      <c r="E14" s="13" t="n">
        <v>19600</v>
      </c>
      <c r="F14" s="14">
        <f>E14/$E$20</f>
        <v/>
      </c>
    </row>
    <row r="15">
      <c r="C15" s="12" t="inlineStr">
        <is>
          <t>B</t>
        </is>
      </c>
      <c r="D15" s="12" t="inlineStr">
        <is>
          <t>보통주</t>
        </is>
      </c>
      <c r="E15" s="13" t="n">
        <v>3500</v>
      </c>
      <c r="F15" s="14">
        <f>E15/$E$20</f>
        <v/>
      </c>
    </row>
    <row r="16">
      <c r="C16" s="12" t="inlineStr">
        <is>
          <t>C</t>
        </is>
      </c>
      <c r="D16" s="12" t="inlineStr">
        <is>
          <t>보통주</t>
        </is>
      </c>
      <c r="E16" s="13" t="n">
        <v>3500</v>
      </c>
      <c r="F16" s="14">
        <f>E16/$E$20</f>
        <v/>
      </c>
    </row>
    <row r="17">
      <c r="C17" s="12" t="inlineStr">
        <is>
          <t>D</t>
        </is>
      </c>
      <c r="D17" s="12" t="inlineStr">
        <is>
          <t>보통주</t>
        </is>
      </c>
      <c r="E17" s="13" t="n">
        <v>1400</v>
      </c>
      <c r="F17" s="14">
        <f>E17/$E$20</f>
        <v/>
      </c>
    </row>
    <row r="18">
      <c r="C18" s="12" t="inlineStr">
        <is>
          <t>E</t>
        </is>
      </c>
      <c r="D18" s="12" t="inlineStr">
        <is>
          <t>보통주</t>
        </is>
      </c>
      <c r="E18" s="13" t="n">
        <v>3500</v>
      </c>
      <c r="F18" s="14">
        <f>E18/$E$20</f>
        <v/>
      </c>
    </row>
    <row r="19">
      <c r="C19" s="12" t="inlineStr">
        <is>
          <t>F</t>
        </is>
      </c>
      <c r="D19" s="12" t="inlineStr">
        <is>
          <t>보통주</t>
        </is>
      </c>
      <c r="E19" s="13" t="n">
        <v>1750</v>
      </c>
      <c r="F19" s="14">
        <f>E19/$E$20</f>
        <v/>
      </c>
    </row>
    <row r="20">
      <c r="C20" s="15" t="inlineStr">
        <is>
          <t>합계</t>
        </is>
      </c>
      <c r="E20" s="16">
        <f>SUM(E14:E19)</f>
        <v/>
      </c>
      <c r="F20" s="17">
        <f>SUM(F14:F19)</f>
        <v/>
      </c>
    </row>
    <row r="24">
      <c r="B24" s="9" t="inlineStr">
        <is>
          <t>2)</t>
        </is>
      </c>
      <c r="C24" s="10" t="inlineStr">
        <is>
          <t>투자 후</t>
        </is>
      </c>
      <c r="E24" s="18" t="inlineStr">
        <is>
          <t>매입자금</t>
        </is>
      </c>
      <c r="F24" s="19" t="n">
        <v>500000000</v>
      </c>
      <c r="G24" s="20" t="n"/>
    </row>
    <row r="25">
      <c r="E25" s="18" t="inlineStr">
        <is>
          <t>거래주식수</t>
        </is>
      </c>
      <c r="F25" s="21">
        <f>ROUNDUP(F24/D6,0)</f>
        <v/>
      </c>
      <c r="G25" s="20" t="n"/>
    </row>
    <row r="27">
      <c r="C27" s="11" t="inlineStr">
        <is>
          <t>주주명</t>
        </is>
      </c>
      <c r="D27" s="11" t="inlineStr">
        <is>
          <t>주식종류</t>
        </is>
      </c>
      <c r="E27" s="11" t="inlineStr">
        <is>
          <t>주식 수</t>
        </is>
      </c>
      <c r="F27" s="11" t="inlineStr">
        <is>
          <t>지분율</t>
        </is>
      </c>
    </row>
    <row r="28">
      <c r="C28" s="12" t="inlineStr">
        <is>
          <t>A</t>
        </is>
      </c>
      <c r="D28" s="12" t="inlineStr">
        <is>
          <t>보통주</t>
        </is>
      </c>
      <c r="E28" s="13" t="n">
        <v>19600</v>
      </c>
      <c r="F28" s="14">
        <f>E28/$E$35</f>
        <v/>
      </c>
    </row>
    <row r="29">
      <c r="C29" s="12" t="inlineStr">
        <is>
          <t>B</t>
        </is>
      </c>
      <c r="D29" s="12" t="inlineStr">
        <is>
          <t>보통주</t>
        </is>
      </c>
      <c r="E29" s="13" t="n">
        <v>3500</v>
      </c>
      <c r="F29" s="14">
        <f>E29/$E$35</f>
        <v/>
      </c>
    </row>
    <row r="30">
      <c r="C30" s="12" t="inlineStr">
        <is>
          <t>C</t>
        </is>
      </c>
      <c r="D30" s="12" t="inlineStr">
        <is>
          <t>보통주</t>
        </is>
      </c>
      <c r="E30" s="13" t="n">
        <v>3500</v>
      </c>
      <c r="F30" s="14">
        <f>E30/$E$35</f>
        <v/>
      </c>
    </row>
    <row r="31">
      <c r="C31" s="12" t="inlineStr">
        <is>
          <t>D</t>
        </is>
      </c>
      <c r="D31" s="12" t="inlineStr">
        <is>
          <t>보통주</t>
        </is>
      </c>
      <c r="E31" s="13" t="n">
        <v>1400</v>
      </c>
      <c r="F31" s="14">
        <f>E31/$E$35</f>
        <v/>
      </c>
    </row>
    <row r="32">
      <c r="C32" s="12" t="inlineStr">
        <is>
          <t>E</t>
        </is>
      </c>
      <c r="D32" s="12" t="inlineStr">
        <is>
          <t>보통주</t>
        </is>
      </c>
      <c r="E32" s="13" t="n">
        <v>3500</v>
      </c>
      <c r="F32" s="14">
        <f>E32/$E$35</f>
        <v/>
      </c>
    </row>
    <row r="33">
      <c r="C33" s="12" t="inlineStr">
        <is>
          <t>F</t>
        </is>
      </c>
      <c r="D33" s="12" t="inlineStr">
        <is>
          <t>보통주</t>
        </is>
      </c>
      <c r="E33" s="13" t="n">
        <v>1750</v>
      </c>
      <c r="F33" s="14">
        <f>E33/$E$35</f>
        <v/>
      </c>
    </row>
    <row r="34">
      <c r="C34" s="22" t="inlineStr">
        <is>
          <t>한투 바른동행 셰르파 제4호 펀드</t>
        </is>
      </c>
      <c r="D34" s="22" t="inlineStr">
        <is>
          <t>RCPS</t>
        </is>
      </c>
      <c r="E34" s="23">
        <f>F25</f>
        <v/>
      </c>
      <c r="F34" s="24">
        <f>E34/$E$35</f>
        <v/>
      </c>
      <c r="G34" s="25">
        <f>E34*D6</f>
        <v/>
      </c>
    </row>
    <row r="35">
      <c r="C35" s="15" t="inlineStr">
        <is>
          <t>합계</t>
        </is>
      </c>
      <c r="E35" s="16">
        <f>SUM(E28:E34)</f>
        <v/>
      </c>
      <c r="F35" s="17">
        <f>SUM(F28:F34)</f>
        <v/>
      </c>
    </row>
  </sheetData>
  <mergeCells count="5">
    <mergeCell ref="C20:D20"/>
    <mergeCell ref="G34:H34"/>
    <mergeCell ref="G24:H24"/>
    <mergeCell ref="G25:H25"/>
    <mergeCell ref="C35:D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2026-02-27T01:05:25Z</dcterms:created>
  <dcterms:modified xsi:type="dcterms:W3CDTF">2026-02-27T01:05:25Z</dcterms:modified>
</cp:coreProperties>
</file>